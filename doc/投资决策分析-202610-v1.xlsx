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yysyp\Desktop\"/>
    </mc:Choice>
  </mc:AlternateContent>
  <xr:revisionPtr revIDLastSave="0" documentId="13_ncr:1_{7071CF4E-8BFD-44FB-B247-928D31696EBF}" xr6:coauthVersionLast="47" xr6:coauthVersionMax="47" xr10:uidLastSave="{00000000-0000-0000-0000-000000000000}"/>
  <bookViews>
    <workbookView xWindow="-110" yWindow="-110" windowWidth="21820" windowHeight="1390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1" l="1"/>
  <c r="H11" i="1"/>
  <c r="G11" i="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G34" i="1" s="1"/>
  <c r="D11" i="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E11" i="1" l="1"/>
  <c r="F11" i="1" s="1"/>
  <c r="J11" i="1" s="1"/>
  <c r="H12" i="1"/>
  <c r="E12" i="1" l="1"/>
  <c r="F12" i="1" s="1"/>
  <c r="J12" i="1" s="1"/>
  <c r="H13" i="1"/>
  <c r="E13" i="1" l="1"/>
  <c r="F13" i="1" s="1"/>
  <c r="J13" i="1" s="1"/>
  <c r="H14" i="1"/>
  <c r="E14" i="1" l="1"/>
  <c r="F14" i="1" s="1"/>
  <c r="J14" i="1" s="1"/>
  <c r="H15" i="1"/>
  <c r="E15" i="1" l="1"/>
  <c r="F15" i="1" s="1"/>
  <c r="J15" i="1" s="1"/>
  <c r="H16" i="1"/>
  <c r="E16" i="1" l="1"/>
  <c r="F16" i="1" s="1"/>
  <c r="J16" i="1" s="1"/>
  <c r="H17" i="1"/>
  <c r="E17" i="1" l="1"/>
  <c r="F17" i="1" s="1"/>
  <c r="J17" i="1" s="1"/>
  <c r="H18" i="1"/>
  <c r="E18" i="1" l="1"/>
  <c r="F18" i="1" s="1"/>
  <c r="J18" i="1" s="1"/>
  <c r="H19" i="1"/>
  <c r="E19" i="1" l="1"/>
  <c r="F19" i="1" s="1"/>
  <c r="J19" i="1" s="1"/>
  <c r="H20" i="1"/>
  <c r="E20" i="1" l="1"/>
  <c r="F20" i="1" s="1"/>
  <c r="J20" i="1" s="1"/>
  <c r="H21" i="1"/>
  <c r="E21" i="1" l="1"/>
  <c r="F21" i="1" s="1"/>
  <c r="J21" i="1" s="1"/>
  <c r="H22" i="1"/>
  <c r="E22" i="1" l="1"/>
  <c r="F22" i="1" s="1"/>
  <c r="J22" i="1" s="1"/>
  <c r="H23" i="1"/>
  <c r="E23" i="1" l="1"/>
  <c r="F23" i="1" s="1"/>
  <c r="J23" i="1" s="1"/>
  <c r="H24" i="1"/>
  <c r="E24" i="1" l="1"/>
  <c r="F24" i="1" s="1"/>
  <c r="J24" i="1" s="1"/>
  <c r="H25" i="1"/>
  <c r="E25" i="1" l="1"/>
  <c r="F25" i="1" s="1"/>
  <c r="J25" i="1" s="1"/>
  <c r="H26" i="1"/>
  <c r="E26" i="1" l="1"/>
  <c r="F26" i="1" s="1"/>
  <c r="J26" i="1" s="1"/>
  <c r="H27" i="1"/>
  <c r="E27" i="1" l="1"/>
  <c r="F27" i="1" s="1"/>
  <c r="J27" i="1" s="1"/>
  <c r="H28" i="1"/>
  <c r="E28" i="1" l="1"/>
  <c r="F28" i="1" s="1"/>
  <c r="J28" i="1" s="1"/>
  <c r="H29" i="1"/>
  <c r="H30" i="1" l="1"/>
  <c r="E29" i="1"/>
  <c r="E30" i="1" l="1"/>
  <c r="F29" i="1"/>
  <c r="J29" i="1" s="1"/>
  <c r="H31" i="1"/>
  <c r="F30" i="1" l="1"/>
  <c r="J30" i="1" s="1"/>
  <c r="E31" i="1"/>
  <c r="H32" i="1"/>
  <c r="F31" i="1" l="1"/>
  <c r="J31" i="1" s="1"/>
  <c r="E32" i="1"/>
  <c r="H33" i="1"/>
  <c r="E33" i="1" l="1"/>
  <c r="F32" i="1"/>
  <c r="J32" i="1" s="1"/>
  <c r="H34" i="1"/>
  <c r="E34" i="1" l="1"/>
  <c r="F34" i="1" s="1"/>
  <c r="J34" i="1" s="1"/>
  <c r="F33" i="1"/>
  <c r="J33" i="1" s="1"/>
</calcChain>
</file>

<file path=xl/sharedStrings.xml><?xml version="1.0" encoding="utf-8"?>
<sst xmlns="http://schemas.openxmlformats.org/spreadsheetml/2006/main" count="30" uniqueCount="30">
  <si>
    <t>年份</t>
  </si>
  <si>
    <t>房产值</t>
  </si>
  <si>
    <t>B投资收益</t>
  </si>
  <si>
    <t>A：持有房产</t>
  </si>
  <si>
    <t>房产可以理解为：土地使用权+一份持续贬值的砖瓦</t>
  </si>
  <si>
    <t>温和通胀模式是政府追求的目标，所以长期看货币温和贬值是制度性倾向</t>
  </si>
  <si>
    <t>温和通胀对没有定价权的资产都是稀释效应</t>
  </si>
  <si>
    <t>杠杆是双向放大器，如果利差为正则会放大收益，否则放大损失</t>
  </si>
  <si>
    <t>货币增速长期高于名义利率，但是货币增速不等于推高通胀，货币流通速度和传导可能导致货币并不会流通到商品上。</t>
  </si>
  <si>
    <t>公积金买房虽然是低息负债和财务杠杆，但是杠杆是放大器，要看资产收益率和负债利率差是正是负，否则可能是放大损失。低息负债抗通胀要看你的名义增长是否能跑赢负债利率。</t>
  </si>
  <si>
    <t>投资角度资产配置考虑的是如何把资产配置到未来能产生更多现金流，更有提价权，更有购买力，更值钱的地方</t>
  </si>
  <si>
    <t>宏观对投资决策没有"预测/择时"的用途（因为传导复杂、会变、且切换不可知）。它的唯一用途是做压力测试的清单。负债能否抗通胀、杠杆是否有利，严格取决于"资产名义回报 − 负债利率"的利差符号以及现金流能否穿越周期</t>
  </si>
  <si>
    <t>负债抗通胀成立的条件是“你的资产名义增长跑赢负债利率”。底层逻辑是债务的名义值固定，而通胀会稀释货币购买力，推高收入与资产价格，最终让实际债务负担下降。如果负债利率跟着提升了，那就相当于重新定价，抗通胀效果被抵消</t>
  </si>
  <si>
    <t>抛开宏观因素，微观分析：</t>
  </si>
  <si>
    <t>全国总人口长期下行，国内住房大盘需求整体收缩</t>
  </si>
  <si>
    <t>上海依托优质公共资源与产业集聚力，常住人口保持小幅净流入，（上海仍有入户门槛筛选）</t>
  </si>
  <si>
    <t>定投沪深300 ETF 10年，保持纪律，只在指数估值70%分位以上时才卖出，年化投资收益率大概率可以到 5% 以上</t>
  </si>
  <si>
    <t>上海奉贤西渡虽然有5号线，但是高薪岗位稀缺，主要还是依托闵行市区的人口溢出，房价支撑有限，估计年化收益不一定能到2%，而且之后房越旧会越难卖</t>
  </si>
  <si>
    <t>综合考虑卖出上海奉贤西渡，改成租房+定投沪深300 ETF，从投资角度10年后总资产应该更高。</t>
  </si>
  <si>
    <t>租金增长率</t>
  </si>
  <si>
    <t>房产增值率</t>
  </si>
  <si>
    <t>投资收益率</t>
  </si>
  <si>
    <t>A-B</t>
  </si>
  <si>
    <t>B：持有ETF</t>
  </si>
  <si>
    <t>放租租金</t>
  </si>
  <si>
    <t>放租租金收益合计</t>
  </si>
  <si>
    <t>放租租金投资收益</t>
  </si>
  <si>
    <t>预测一下：上海奉贤西渡地铁房，未来10年的租金收益年化增长是多少？</t>
  </si>
  <si>
    <t>上海奉贤西渡鸿宝一村1996年的步梯6层楼房高楼层80平米房产，房子距离上海5号线西渡地铁站800米，预测该房产，未来10年的房价变化情况，年化增长是多少？</t>
  </si>
  <si>
    <t>预测一下：沪深300ETF投资，定投持有不卖出，未来10年的年化收益是多？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</si>
</sst>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scheme val="minor"/>
    </font>
    <font>
      <b/>
      <sz val="11"/>
      <color theme="1"/>
      <name val="等线"/>
      <charset val="134"/>
      <scheme val="minor"/>
    </font>
  </fonts>
  <fills count="5">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34"/>
  <sheetViews>
    <sheetView tabSelected="1" topLeftCell="A5" workbookViewId="0">
      <selection activeCell="D6" sqref="D6"/>
    </sheetView>
  </sheetViews>
  <sheetFormatPr defaultRowHeight="14"/>
  <cols>
    <col min="3" max="3" width="10" customWidth="1"/>
    <col min="4" max="4" width="13.4140625" customWidth="1"/>
    <col min="5" max="5" width="15.58203125" customWidth="1"/>
    <col min="6" max="6" width="16.83203125" customWidth="1"/>
    <col min="7" max="7" width="10.33203125" customWidth="1"/>
    <col min="8" max="8" width="11.25" customWidth="1"/>
    <col min="9" max="9" width="4.4140625" customWidth="1"/>
    <col min="10" max="10" width="11.5" customWidth="1"/>
  </cols>
  <sheetData>
    <row r="3" spans="2:10">
      <c r="B3" t="s">
        <v>3</v>
      </c>
    </row>
    <row r="4" spans="2:10">
      <c r="B4" t="s">
        <v>23</v>
      </c>
    </row>
    <row r="5" spans="2:10">
      <c r="C5" t="s">
        <v>19</v>
      </c>
      <c r="D5">
        <v>0.06</v>
      </c>
    </row>
    <row r="6" spans="2:10">
      <c r="C6" t="s">
        <v>20</v>
      </c>
      <c r="D6">
        <v>0.01</v>
      </c>
    </row>
    <row r="7" spans="2:10">
      <c r="C7" t="s">
        <v>21</v>
      </c>
      <c r="D7">
        <v>0.05</v>
      </c>
    </row>
    <row r="9" spans="2:10">
      <c r="C9" s="1" t="s">
        <v>0</v>
      </c>
      <c r="D9" s="2" t="s">
        <v>24</v>
      </c>
      <c r="E9" s="2" t="s">
        <v>25</v>
      </c>
      <c r="F9" s="2" t="s">
        <v>26</v>
      </c>
      <c r="G9" s="2" t="s">
        <v>1</v>
      </c>
      <c r="H9" s="3" t="s">
        <v>2</v>
      </c>
      <c r="I9" s="1"/>
      <c r="J9" s="1" t="s">
        <v>22</v>
      </c>
    </row>
    <row r="10" spans="2:10">
      <c r="C10">
        <v>1</v>
      </c>
      <c r="D10">
        <v>3.6</v>
      </c>
      <c r="E10">
        <v>0</v>
      </c>
      <c r="F10">
        <v>0</v>
      </c>
      <c r="G10">
        <v>100</v>
      </c>
      <c r="H10">
        <v>100</v>
      </c>
      <c r="J10">
        <f>F10+G10-H10</f>
        <v>0</v>
      </c>
    </row>
    <row r="11" spans="2:10">
      <c r="C11">
        <v>2</v>
      </c>
      <c r="D11">
        <f>D10*(1+$D$5)</f>
        <v>3.8160000000000003</v>
      </c>
      <c r="E11">
        <f>E10+D11</f>
        <v>3.8160000000000003</v>
      </c>
      <c r="F11">
        <f>E11*(1+$D$7)</f>
        <v>4.0068000000000001</v>
      </c>
      <c r="G11">
        <f>G10*(1+$D$6)</f>
        <v>101</v>
      </c>
      <c r="H11">
        <f>H10*(1+$D$7)</f>
        <v>105</v>
      </c>
      <c r="J11">
        <f>F11+G11-H11</f>
        <v>6.7999999999983629E-3</v>
      </c>
    </row>
    <row r="12" spans="2:10">
      <c r="C12">
        <v>3</v>
      </c>
      <c r="D12">
        <f t="shared" ref="D12:D29" si="0">D11*(1+$D$5)</f>
        <v>4.0449600000000006</v>
      </c>
      <c r="E12">
        <f t="shared" ref="E12:E29" si="1">E11+D12</f>
        <v>7.8609600000000004</v>
      </c>
      <c r="F12">
        <f t="shared" ref="F12:F34" si="2">E12*(1+$D$7)</f>
        <v>8.2540080000000007</v>
      </c>
      <c r="G12">
        <f t="shared" ref="G12:G29" si="3">G11*(1+$D$6)</f>
        <v>102.01</v>
      </c>
      <c r="H12">
        <f t="shared" ref="H12:H29" si="4">H11*(1+$D$7)</f>
        <v>110.25</v>
      </c>
      <c r="J12">
        <f t="shared" ref="J12:J29" si="5">F12+G12-H12</f>
        <v>1.4008000000004017E-2</v>
      </c>
    </row>
    <row r="13" spans="2:10">
      <c r="C13">
        <v>4</v>
      </c>
      <c r="D13">
        <f t="shared" si="0"/>
        <v>4.2876576000000011</v>
      </c>
      <c r="E13">
        <f t="shared" si="1"/>
        <v>12.148617600000001</v>
      </c>
      <c r="F13">
        <f t="shared" si="2"/>
        <v>12.756048480000002</v>
      </c>
      <c r="G13">
        <f t="shared" si="3"/>
        <v>103.0301</v>
      </c>
      <c r="H13">
        <f t="shared" si="4"/>
        <v>115.7625</v>
      </c>
      <c r="J13">
        <f t="shared" si="5"/>
        <v>2.3648480000005634E-2</v>
      </c>
    </row>
    <row r="14" spans="2:10">
      <c r="C14">
        <v>5</v>
      </c>
      <c r="D14">
        <f t="shared" si="0"/>
        <v>4.544917056000001</v>
      </c>
      <c r="E14">
        <f t="shared" si="1"/>
        <v>16.693534656000004</v>
      </c>
      <c r="F14">
        <f t="shared" si="2"/>
        <v>17.528211388800006</v>
      </c>
      <c r="G14">
        <f t="shared" si="3"/>
        <v>104.060401</v>
      </c>
      <c r="H14">
        <f t="shared" si="4"/>
        <v>121.55062500000001</v>
      </c>
      <c r="J14">
        <f t="shared" si="5"/>
        <v>3.798738879999064E-2</v>
      </c>
    </row>
    <row r="15" spans="2:10">
      <c r="C15">
        <v>6</v>
      </c>
      <c r="D15">
        <f t="shared" si="0"/>
        <v>4.8176120793600017</v>
      </c>
      <c r="E15">
        <f t="shared" si="1"/>
        <v>21.511146735360008</v>
      </c>
      <c r="F15">
        <f t="shared" si="2"/>
        <v>22.586704072128008</v>
      </c>
      <c r="G15">
        <f t="shared" si="3"/>
        <v>105.10100500999999</v>
      </c>
      <c r="H15">
        <f t="shared" si="4"/>
        <v>127.62815625000002</v>
      </c>
      <c r="J15">
        <f t="shared" si="5"/>
        <v>5.9552832127991451E-2</v>
      </c>
    </row>
    <row r="16" spans="2:10">
      <c r="C16">
        <v>7</v>
      </c>
      <c r="D16">
        <f t="shared" si="0"/>
        <v>5.1066688041216022</v>
      </c>
      <c r="E16">
        <f t="shared" si="1"/>
        <v>26.617815539481612</v>
      </c>
      <c r="F16">
        <f t="shared" si="2"/>
        <v>27.948706316455695</v>
      </c>
      <c r="G16">
        <f t="shared" si="3"/>
        <v>106.1520150601</v>
      </c>
      <c r="H16">
        <f t="shared" si="4"/>
        <v>134.00956406250003</v>
      </c>
      <c r="J16">
        <f t="shared" si="5"/>
        <v>9.1157314055664074E-2</v>
      </c>
    </row>
    <row r="17" spans="3:10">
      <c r="C17">
        <v>8</v>
      </c>
      <c r="D17">
        <f t="shared" si="0"/>
        <v>5.4130689323688985</v>
      </c>
      <c r="E17">
        <f t="shared" si="1"/>
        <v>32.030884471850513</v>
      </c>
      <c r="F17">
        <f t="shared" si="2"/>
        <v>33.632428695443039</v>
      </c>
      <c r="G17">
        <f t="shared" si="3"/>
        <v>107.213535210701</v>
      </c>
      <c r="H17">
        <f t="shared" si="4"/>
        <v>140.71004226562505</v>
      </c>
      <c r="J17">
        <f t="shared" si="5"/>
        <v>0.13592164051900113</v>
      </c>
    </row>
    <row r="18" spans="3:10">
      <c r="C18">
        <v>9</v>
      </c>
      <c r="D18">
        <f t="shared" si="0"/>
        <v>5.7378530683110327</v>
      </c>
      <c r="E18">
        <f t="shared" si="1"/>
        <v>37.768737540161545</v>
      </c>
      <c r="F18">
        <f t="shared" si="2"/>
        <v>39.657174417169621</v>
      </c>
      <c r="G18">
        <f t="shared" si="3"/>
        <v>108.28567056280801</v>
      </c>
      <c r="H18">
        <f t="shared" si="4"/>
        <v>147.74554437890632</v>
      </c>
      <c r="J18">
        <f t="shared" si="5"/>
        <v>0.19730060107130498</v>
      </c>
    </row>
    <row r="19" spans="3:10">
      <c r="C19">
        <v>10</v>
      </c>
      <c r="D19">
        <f t="shared" si="0"/>
        <v>6.0821242524096952</v>
      </c>
      <c r="E19">
        <f t="shared" si="1"/>
        <v>43.850861792571237</v>
      </c>
      <c r="F19">
        <f t="shared" si="2"/>
        <v>46.043404882199802</v>
      </c>
      <c r="G19">
        <f t="shared" si="3"/>
        <v>109.36852726843608</v>
      </c>
      <c r="H19">
        <f t="shared" si="4"/>
        <v>155.13282159785163</v>
      </c>
      <c r="J19">
        <f t="shared" si="5"/>
        <v>0.27911055278426034</v>
      </c>
    </row>
    <row r="20" spans="3:10">
      <c r="C20">
        <v>11</v>
      </c>
      <c r="D20">
        <f t="shared" si="0"/>
        <v>6.4470517075542775</v>
      </c>
      <c r="E20">
        <f t="shared" si="1"/>
        <v>50.297913500125517</v>
      </c>
      <c r="F20">
        <f t="shared" si="2"/>
        <v>52.812809175131797</v>
      </c>
      <c r="G20">
        <f t="shared" si="3"/>
        <v>110.46221254112045</v>
      </c>
      <c r="H20">
        <f t="shared" si="4"/>
        <v>162.88946267774421</v>
      </c>
      <c r="J20">
        <f t="shared" si="5"/>
        <v>0.38555903850803475</v>
      </c>
    </row>
    <row r="21" spans="3:10">
      <c r="C21">
        <v>12</v>
      </c>
      <c r="D21">
        <f t="shared" si="0"/>
        <v>6.8338748100075346</v>
      </c>
      <c r="E21">
        <f t="shared" si="1"/>
        <v>57.131788310133054</v>
      </c>
      <c r="F21">
        <f t="shared" si="2"/>
        <v>59.988377725639708</v>
      </c>
      <c r="G21">
        <f t="shared" si="3"/>
        <v>111.56683466653166</v>
      </c>
      <c r="H21">
        <f t="shared" si="4"/>
        <v>171.03393581163144</v>
      </c>
      <c r="J21">
        <f t="shared" si="5"/>
        <v>0.52127658053993287</v>
      </c>
    </row>
    <row r="22" spans="3:10">
      <c r="C22">
        <v>13</v>
      </c>
      <c r="D22">
        <f t="shared" si="0"/>
        <v>7.2439072986079873</v>
      </c>
      <c r="E22">
        <f t="shared" si="1"/>
        <v>64.37569560874104</v>
      </c>
      <c r="F22">
        <f t="shared" si="2"/>
        <v>67.594480389178102</v>
      </c>
      <c r="G22">
        <f t="shared" si="3"/>
        <v>112.68250301319698</v>
      </c>
      <c r="H22">
        <f t="shared" si="4"/>
        <v>179.58563260221302</v>
      </c>
      <c r="J22">
        <f t="shared" si="5"/>
        <v>0.69135080016206985</v>
      </c>
    </row>
    <row r="23" spans="3:10">
      <c r="C23">
        <v>14</v>
      </c>
      <c r="D23">
        <f t="shared" si="0"/>
        <v>7.6785417365244673</v>
      </c>
      <c r="E23">
        <f t="shared" si="1"/>
        <v>72.054237345265506</v>
      </c>
      <c r="F23">
        <f t="shared" si="2"/>
        <v>75.656949212528787</v>
      </c>
      <c r="G23">
        <f t="shared" si="3"/>
        <v>113.80932804332895</v>
      </c>
      <c r="H23">
        <f t="shared" si="4"/>
        <v>188.56491423232367</v>
      </c>
      <c r="J23">
        <f t="shared" si="5"/>
        <v>0.90136302353405995</v>
      </c>
    </row>
    <row r="24" spans="3:10">
      <c r="C24">
        <v>15</v>
      </c>
      <c r="D24">
        <f t="shared" si="0"/>
        <v>8.1392542407159354</v>
      </c>
      <c r="E24">
        <f t="shared" si="1"/>
        <v>80.193491585981434</v>
      </c>
      <c r="F24">
        <f t="shared" si="2"/>
        <v>84.203166165280507</v>
      </c>
      <c r="G24">
        <f t="shared" si="3"/>
        <v>114.94742132376224</v>
      </c>
      <c r="H24">
        <f t="shared" si="4"/>
        <v>197.99315994393987</v>
      </c>
      <c r="J24">
        <f t="shared" si="5"/>
        <v>1.1574275451028768</v>
      </c>
    </row>
    <row r="25" spans="3:10">
      <c r="C25">
        <v>16</v>
      </c>
      <c r="D25">
        <f t="shared" si="0"/>
        <v>8.6276094951588913</v>
      </c>
      <c r="E25">
        <f t="shared" si="1"/>
        <v>88.821101081140327</v>
      </c>
      <c r="F25">
        <f t="shared" si="2"/>
        <v>93.262156135197344</v>
      </c>
      <c r="G25">
        <f t="shared" si="3"/>
        <v>116.09689553699987</v>
      </c>
      <c r="H25">
        <f t="shared" si="4"/>
        <v>207.89281794113688</v>
      </c>
      <c r="J25">
        <f t="shared" si="5"/>
        <v>1.4662337310603277</v>
      </c>
    </row>
    <row r="26" spans="3:10">
      <c r="C26">
        <v>17</v>
      </c>
      <c r="D26">
        <f t="shared" si="0"/>
        <v>9.1452660648684247</v>
      </c>
      <c r="E26">
        <f t="shared" si="1"/>
        <v>97.96636714600875</v>
      </c>
      <c r="F26">
        <f t="shared" si="2"/>
        <v>102.86468550330919</v>
      </c>
      <c r="G26">
        <f t="shared" si="3"/>
        <v>117.25786449236986</v>
      </c>
      <c r="H26">
        <f t="shared" si="4"/>
        <v>218.28745883819374</v>
      </c>
      <c r="J26">
        <f t="shared" si="5"/>
        <v>1.8350911574852944</v>
      </c>
    </row>
    <row r="27" spans="3:10">
      <c r="C27">
        <v>18</v>
      </c>
      <c r="D27">
        <f t="shared" si="0"/>
        <v>9.6939820287605301</v>
      </c>
      <c r="E27">
        <f t="shared" si="1"/>
        <v>107.66034917476928</v>
      </c>
      <c r="F27">
        <f t="shared" si="2"/>
        <v>113.04336663350774</v>
      </c>
      <c r="G27">
        <f t="shared" si="3"/>
        <v>118.43044313729357</v>
      </c>
      <c r="H27">
        <f t="shared" si="4"/>
        <v>229.20183178010345</v>
      </c>
      <c r="J27">
        <f t="shared" si="5"/>
        <v>2.2719779906978772</v>
      </c>
    </row>
    <row r="28" spans="3:10">
      <c r="C28">
        <v>19</v>
      </c>
      <c r="D28">
        <f t="shared" si="0"/>
        <v>10.275620950486163</v>
      </c>
      <c r="E28">
        <f t="shared" si="1"/>
        <v>117.93597012525544</v>
      </c>
      <c r="F28">
        <f t="shared" si="2"/>
        <v>123.83276863151822</v>
      </c>
      <c r="G28">
        <f t="shared" si="3"/>
        <v>119.6147475686665</v>
      </c>
      <c r="H28">
        <f t="shared" si="4"/>
        <v>240.66192336910862</v>
      </c>
      <c r="J28">
        <f t="shared" si="5"/>
        <v>2.7855928310761158</v>
      </c>
    </row>
    <row r="29" spans="3:10">
      <c r="C29">
        <v>20</v>
      </c>
      <c r="D29">
        <f t="shared" si="0"/>
        <v>10.892158207515333</v>
      </c>
      <c r="E29">
        <f t="shared" si="1"/>
        <v>128.82812833277077</v>
      </c>
      <c r="F29">
        <f t="shared" si="2"/>
        <v>135.26953474940933</v>
      </c>
      <c r="G29">
        <f t="shared" si="3"/>
        <v>120.81089504435317</v>
      </c>
      <c r="H29">
        <f t="shared" si="4"/>
        <v>252.69501953756406</v>
      </c>
      <c r="J29">
        <f t="shared" si="5"/>
        <v>3.3854102561984405</v>
      </c>
    </row>
    <row r="30" spans="3:10">
      <c r="C30">
        <v>21</v>
      </c>
      <c r="D30">
        <f t="shared" ref="D30:D34" si="6">D29*(1+$D$5)</f>
        <v>11.545687699966253</v>
      </c>
      <c r="E30">
        <f t="shared" ref="E30:E34" si="7">E29+D30</f>
        <v>140.37381603273704</v>
      </c>
      <c r="F30">
        <f t="shared" si="2"/>
        <v>147.3925068343739</v>
      </c>
      <c r="G30">
        <f t="shared" ref="G30:G34" si="8">G29*(1+$D$6)</f>
        <v>122.01900399479671</v>
      </c>
      <c r="H30">
        <f t="shared" ref="H30:H34" si="9">H29*(1+$D$7)</f>
        <v>265.32977051444226</v>
      </c>
      <c r="J30">
        <f t="shared" ref="J30:J34" si="10">F30+G30-H30</f>
        <v>4.0817403147283358</v>
      </c>
    </row>
    <row r="31" spans="3:10">
      <c r="C31">
        <v>22</v>
      </c>
      <c r="D31">
        <f t="shared" si="6"/>
        <v>12.238428961964228</v>
      </c>
      <c r="E31">
        <f t="shared" si="7"/>
        <v>152.61224499470126</v>
      </c>
      <c r="F31">
        <f t="shared" si="2"/>
        <v>160.24285724443632</v>
      </c>
      <c r="G31">
        <f t="shared" si="8"/>
        <v>123.23919403474467</v>
      </c>
      <c r="H31">
        <f t="shared" si="9"/>
        <v>278.5962590401644</v>
      </c>
      <c r="J31">
        <f t="shared" si="10"/>
        <v>4.8857922390166095</v>
      </c>
    </row>
    <row r="32" spans="3:10">
      <c r="C32">
        <v>23</v>
      </c>
      <c r="D32">
        <f t="shared" si="6"/>
        <v>12.972734699682082</v>
      </c>
      <c r="E32">
        <f t="shared" si="7"/>
        <v>165.58497969438335</v>
      </c>
      <c r="F32">
        <f t="shared" si="2"/>
        <v>173.86422867910252</v>
      </c>
      <c r="G32">
        <f t="shared" si="8"/>
        <v>124.47158597509213</v>
      </c>
      <c r="H32">
        <f t="shared" si="9"/>
        <v>292.5260719921726</v>
      </c>
      <c r="J32">
        <f t="shared" si="10"/>
        <v>5.8097426620220745</v>
      </c>
    </row>
    <row r="33" spans="3:10">
      <c r="C33">
        <v>24</v>
      </c>
      <c r="D33">
        <f t="shared" si="6"/>
        <v>13.751098781663007</v>
      </c>
      <c r="E33">
        <f t="shared" si="7"/>
        <v>179.33607847604637</v>
      </c>
      <c r="F33">
        <f t="shared" si="2"/>
        <v>188.3028823998487</v>
      </c>
      <c r="G33">
        <f t="shared" si="8"/>
        <v>125.71630183484305</v>
      </c>
      <c r="H33">
        <f t="shared" si="9"/>
        <v>307.15237559178127</v>
      </c>
      <c r="J33">
        <f t="shared" si="10"/>
        <v>6.8668086429104847</v>
      </c>
    </row>
    <row r="34" spans="3:10">
      <c r="C34">
        <v>25</v>
      </c>
      <c r="D34">
        <f t="shared" si="6"/>
        <v>14.576164708562787</v>
      </c>
      <c r="E34">
        <f t="shared" si="7"/>
        <v>193.91224318460917</v>
      </c>
      <c r="F34">
        <f t="shared" si="2"/>
        <v>203.60785534383965</v>
      </c>
      <c r="G34">
        <f t="shared" si="8"/>
        <v>126.97346485319149</v>
      </c>
      <c r="H34">
        <f t="shared" si="9"/>
        <v>322.50999437137034</v>
      </c>
      <c r="J34">
        <f t="shared" si="10"/>
        <v>8.0713258256607787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4087-317C-4F13-A20B-DA6FE65A131D}">
  <dimension ref="B3:C28"/>
  <sheetViews>
    <sheetView workbookViewId="0">
      <selection activeCell="C26" sqref="C26:C28"/>
    </sheetView>
  </sheetViews>
  <sheetFormatPr defaultRowHeight="14"/>
  <sheetData>
    <row r="3" spans="2:3">
      <c r="B3">
        <v>1</v>
      </c>
      <c r="C3" t="s">
        <v>10</v>
      </c>
    </row>
    <row r="4" spans="2:3">
      <c r="B4">
        <v>2</v>
      </c>
      <c r="C4" t="s">
        <v>5</v>
      </c>
    </row>
    <row r="5" spans="2:3">
      <c r="B5">
        <v>3</v>
      </c>
      <c r="C5" t="s">
        <v>6</v>
      </c>
    </row>
    <row r="6" spans="2:3">
      <c r="B6">
        <v>4</v>
      </c>
      <c r="C6" t="s">
        <v>12</v>
      </c>
    </row>
    <row r="7" spans="2:3">
      <c r="B7">
        <v>5</v>
      </c>
      <c r="C7" t="s">
        <v>8</v>
      </c>
    </row>
    <row r="8" spans="2:3">
      <c r="B8">
        <v>6</v>
      </c>
      <c r="C8" t="s">
        <v>7</v>
      </c>
    </row>
    <row r="9" spans="2:3">
      <c r="B9">
        <v>7</v>
      </c>
      <c r="C9" t="s">
        <v>9</v>
      </c>
    </row>
    <row r="10" spans="2:3">
      <c r="B10">
        <v>8</v>
      </c>
      <c r="C10" t="s">
        <v>4</v>
      </c>
    </row>
    <row r="11" spans="2:3">
      <c r="B11">
        <v>9</v>
      </c>
      <c r="C11" t="s">
        <v>11</v>
      </c>
    </row>
    <row r="12" spans="2:3">
      <c r="B12">
        <v>10</v>
      </c>
      <c r="C12" t="s">
        <v>13</v>
      </c>
    </row>
    <row r="13" spans="2:3">
      <c r="B13">
        <v>11</v>
      </c>
      <c r="C13" t="s">
        <v>14</v>
      </c>
    </row>
    <row r="14" spans="2:3">
      <c r="B14">
        <v>12</v>
      </c>
      <c r="C14" t="s">
        <v>15</v>
      </c>
    </row>
    <row r="15" spans="2:3">
      <c r="B15">
        <v>13</v>
      </c>
      <c r="C15" t="s">
        <v>17</v>
      </c>
    </row>
    <row r="16" spans="2:3">
      <c r="B16">
        <v>14</v>
      </c>
      <c r="C16" t="s">
        <v>16</v>
      </c>
    </row>
    <row r="17" spans="2:3">
      <c r="B17">
        <v>15</v>
      </c>
      <c r="C17" t="s">
        <v>18</v>
      </c>
    </row>
    <row r="18" spans="2:3">
      <c r="B18">
        <v>16</v>
      </c>
    </row>
    <row r="19" spans="2:3">
      <c r="B19">
        <v>17</v>
      </c>
    </row>
    <row r="20" spans="2:3">
      <c r="B20">
        <v>18</v>
      </c>
    </row>
    <row r="21" spans="2:3">
      <c r="B21">
        <v>19</v>
      </c>
    </row>
    <row r="22" spans="2:3">
      <c r="B22">
        <v>20</v>
      </c>
    </row>
    <row r="23" spans="2:3">
      <c r="B23">
        <v>21</v>
      </c>
    </row>
    <row r="24" spans="2:3">
      <c r="B24">
        <v>22</v>
      </c>
    </row>
    <row r="25" spans="2:3">
      <c r="B25">
        <v>23</v>
      </c>
    </row>
    <row r="26" spans="2:3">
      <c r="C26" t="s">
        <v>27</v>
      </c>
    </row>
    <row r="27" spans="2:3">
      <c r="C27" t="s">
        <v>28</v>
      </c>
    </row>
    <row r="28" spans="2:3">
      <c r="C28" t="s">
        <v>29</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Song</dc:creator>
  <cp:lastModifiedBy>Patrick Song</cp:lastModifiedBy>
  <dcterms:created xsi:type="dcterms:W3CDTF">2015-06-05T18:19:34Z</dcterms:created>
  <dcterms:modified xsi:type="dcterms:W3CDTF">2026-10-10T23:51:44Z</dcterms:modified>
</cp:coreProperties>
</file>